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uvic-my.sharepoint.com/personal/scottroberts_uvic_ca/Documents/Documents/Work/Teaching/Courses/26-05 400B (May 2026)/Lectures/Materials/"/>
    </mc:Choice>
  </mc:AlternateContent>
  <xr:revisionPtr revIDLastSave="0" documentId="8_{96694E3F-C850-8B40-9B14-CB19A9ECC52D}" xr6:coauthVersionLast="47" xr6:coauthVersionMax="47" xr10:uidLastSave="{00000000-0000-0000-0000-000000000000}"/>
  <bookViews>
    <workbookView xWindow="900" yWindow="680" windowWidth="24800" windowHeight="17260" tabRatio="500" xr2:uid="{00000000-000D-0000-FFFF-FFFF00000000}"/>
  </bookViews>
  <sheets>
    <sheet name="Beam 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G14" i="1"/>
  <c r="G30" i="1" s="1"/>
  <c r="F14" i="1"/>
  <c r="F30" i="1" s="1"/>
  <c r="F31" i="1" s="1"/>
  <c r="F34" i="1" s="1"/>
  <c r="E14" i="1"/>
  <c r="E30" i="1" s="1"/>
  <c r="D14" i="1"/>
  <c r="D30" i="1" s="1"/>
  <c r="D31" i="1" s="1"/>
  <c r="D34" i="1" s="1"/>
  <c r="E31" i="1" l="1"/>
  <c r="E34" i="1" s="1"/>
  <c r="G31" i="1"/>
  <c r="G34" i="1" s="1"/>
  <c r="F21" i="1"/>
  <c r="F24" i="1" s="1"/>
  <c r="G21" i="1"/>
  <c r="G24" i="1" s="1"/>
  <c r="D20" i="1"/>
  <c r="D21" i="1" s="1"/>
  <c r="D24" i="1" s="1"/>
  <c r="F22" i="1"/>
  <c r="F23" i="1" s="1"/>
  <c r="F32" i="1" s="1"/>
  <c r="E20" i="1"/>
  <c r="E22" i="1" s="1"/>
  <c r="E23" i="1" s="1"/>
  <c r="E32" i="1" s="1"/>
  <c r="F20" i="1"/>
  <c r="G20" i="1"/>
  <c r="G22" i="1" s="1"/>
  <c r="G23" i="1" s="1"/>
  <c r="G32" i="1" s="1"/>
  <c r="D22" i="1" l="1"/>
  <c r="D23" i="1" s="1"/>
  <c r="D32" i="1" s="1"/>
  <c r="D33" i="1" s="1"/>
  <c r="E21" i="1"/>
  <c r="E24" i="1" s="1"/>
  <c r="F33" i="1" l="1"/>
  <c r="E33" i="1"/>
  <c r="G33" i="1"/>
</calcChain>
</file>

<file path=xl/sharedStrings.xml><?xml version="1.0" encoding="utf-8"?>
<sst xmlns="http://schemas.openxmlformats.org/spreadsheetml/2006/main" count="83" uniqueCount="65">
  <si>
    <t>Simply Supported Beam — Stiffness-Limited Design</t>
  </si>
  <si>
    <t>Centre point load P;  rectangular cross-section (h = R·b);  deflection limit Δ.   Goal: find width b so that Δ = Δ_design.</t>
  </si>
  <si>
    <t>1 — Design Parameters  (blue cells are user inputs)</t>
  </si>
  <si>
    <t>Parameter</t>
  </si>
  <si>
    <t>Symbol</t>
  </si>
  <si>
    <t>Value</t>
  </si>
  <si>
    <t>Unit</t>
  </si>
  <si>
    <t>Applied load</t>
  </si>
  <si>
    <t>P</t>
  </si>
  <si>
    <t>N</t>
  </si>
  <si>
    <t>Beam span</t>
  </si>
  <si>
    <t>L</t>
  </si>
  <si>
    <t>mm</t>
  </si>
  <si>
    <t>Height-to-width ratio</t>
  </si>
  <si>
    <t>R</t>
  </si>
  <si>
    <t>—   (h = R·b)</t>
  </si>
  <si>
    <t>Design deflection limit</t>
  </si>
  <si>
    <t>Δ</t>
  </si>
  <si>
    <t>2 — Material Properties</t>
  </si>
  <si>
    <t>Property</t>
  </si>
  <si>
    <t>Aluminum 7075-T6</t>
  </si>
  <si>
    <t>Titanium Ti-6Al-4V</t>
  </si>
  <si>
    <t>AISI 4340 Steel</t>
  </si>
  <si>
    <t>CFRP (UD)</t>
  </si>
  <si>
    <t>Young's modulus</t>
  </si>
  <si>
    <t>E</t>
  </si>
  <si>
    <t>GPa</t>
  </si>
  <si>
    <t>Density</t>
  </si>
  <si>
    <t>ρ</t>
  </si>
  <si>
    <t>g/cm³</t>
  </si>
  <si>
    <t>Beam Efficiency Index</t>
  </si>
  <si>
    <t>E½/ρ</t>
  </si>
  <si>
    <t>GPa½·cm³/g</t>
  </si>
  <si>
    <t>3 — Section Design   (analytical solution for width b)</t>
  </si>
  <si>
    <t>From Δ = PL³/(48EI) with I = Rh·b³/12 = R³b⁴/12,  solving for b:  b = [PL³ / (4·E·R³·Δ)]^(1/4)       Note: E converted to N/mm² = E[GPa] × 1000</t>
  </si>
  <si>
    <t>Derived Quantity</t>
  </si>
  <si>
    <t>Width</t>
  </si>
  <si>
    <t>b</t>
  </si>
  <si>
    <t>Height  (h = R·b)</t>
  </si>
  <si>
    <t>h</t>
  </si>
  <si>
    <t>Second moment of area</t>
  </si>
  <si>
    <t>I</t>
  </si>
  <si>
    <t>mm⁴</t>
  </si>
  <si>
    <t>Cross-section area</t>
  </si>
  <si>
    <t>A</t>
  </si>
  <si>
    <t>mm²</t>
  </si>
  <si>
    <t>Beam mass</t>
  </si>
  <si>
    <t>m</t>
  </si>
  <si>
    <t>kg</t>
  </si>
  <si>
    <t>Deflection (verification)</t>
  </si>
  <si>
    <t>4 — Merit Index Scaling Check</t>
  </si>
  <si>
    <t>If the Beam Efficiency Index E½/ρ fully governs, mass should scale as  m ∝ 1/(E½/ρ).  The table below shows normalised values relative to Aluminum 7075-T6.</t>
  </si>
  <si>
    <t>Quantity</t>
  </si>
  <si>
    <t>Formula</t>
  </si>
  <si>
    <t>—</t>
  </si>
  <si>
    <t>Beam Efficiency Index  E½/ρ</t>
  </si>
  <si>
    <t>Normalised merit index</t>
  </si>
  <si>
    <t>(E½/ρ) / ref</t>
  </si>
  <si>
    <t>Beam mass  m</t>
  </si>
  <si>
    <t>m  [kg]</t>
  </si>
  <si>
    <t>Normalised mass</t>
  </si>
  <si>
    <t>m / ref</t>
  </si>
  <si>
    <t>Predicted mass ratio  (1/merit_norm)</t>
  </si>
  <si>
    <t>1 / (merit_norm)</t>
  </si>
  <si>
    <t>Notes:  E in GPa is converted to N/mm² (= MPa) by multiplying by 1000.  Density in g/cm³ is converted to g/mm³ by dividing by 1000.  Mass = A [mm²] × L [mm] × ρ [g/mm³] ÷ 1000  gives kg.  Deflection formula: Δ = PL³/(48EI)  per AISC beam tables (simply supported, centre load).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</si>
</sst>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8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AFAFA"/>
        <bgColor rgb="FFF7F7F7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F7F7F7"/>
        <bgColor rgb="FFFAFAFA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9" fillId="10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3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5" fontId="5" fillId="9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7F7F7"/>
      <rgbColor rgb="FF99CCFF"/>
      <rgbColor rgb="FFFF99CC"/>
      <rgbColor rgb="FFCC99FF"/>
      <rgbColor rgb="FFFAFAFA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pane ySplit="4" topLeftCell="A11" activePane="bottomLeft" state="frozen"/>
      <selection pane="bottomLeft" activeCell="F24" sqref="F24"/>
    </sheetView>
  </sheetViews>
  <sheetFormatPr baseColWidth="10" defaultColWidth="8.6640625" defaultRowHeight="15" x14ac:dyDescent="0.2"/>
  <cols>
    <col min="1" max="1" width="29.33203125" bestFit="1" customWidth="1"/>
    <col min="2" max="2" width="13.5" bestFit="1" customWidth="1"/>
    <col min="3" max="3" width="10.6640625" bestFit="1" customWidth="1"/>
    <col min="4" max="4" width="16.5" bestFit="1" customWidth="1"/>
    <col min="5" max="5" width="16" bestFit="1" customWidth="1"/>
    <col min="6" max="6" width="13.6640625" bestFit="1" customWidth="1"/>
    <col min="7" max="7" width="9.5" bestFit="1" customWidth="1"/>
    <col min="8" max="8" width="22" customWidth="1"/>
  </cols>
  <sheetData>
    <row r="1" spans="1:8" ht="30" customHeight="1" x14ac:dyDescent="0.2">
      <c r="A1" s="5" t="s">
        <v>0</v>
      </c>
      <c r="B1" s="5"/>
      <c r="C1" s="5"/>
      <c r="D1" s="5"/>
      <c r="E1" s="5"/>
      <c r="F1" s="5"/>
      <c r="G1" s="5"/>
      <c r="H1" s="5"/>
    </row>
    <row r="2" spans="1:8" ht="18" customHeight="1" x14ac:dyDescent="0.2">
      <c r="A2" s="4" t="s">
        <v>1</v>
      </c>
      <c r="B2" s="4"/>
      <c r="C2" s="4"/>
      <c r="D2" s="4"/>
      <c r="E2" s="4"/>
      <c r="F2" s="4"/>
      <c r="G2" s="4"/>
      <c r="H2" s="4"/>
    </row>
    <row r="3" spans="1:8" ht="19.5" customHeight="1" x14ac:dyDescent="0.2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">
      <c r="A4" s="6" t="s">
        <v>3</v>
      </c>
      <c r="B4" s="6" t="s">
        <v>4</v>
      </c>
      <c r="C4" s="6" t="s">
        <v>5</v>
      </c>
      <c r="D4" s="6" t="s">
        <v>6</v>
      </c>
      <c r="E4" s="6"/>
      <c r="F4" s="6"/>
      <c r="G4" s="6"/>
      <c r="H4" s="6"/>
    </row>
    <row r="5" spans="1:8" x14ac:dyDescent="0.2">
      <c r="A5" s="7" t="s">
        <v>7</v>
      </c>
      <c r="B5" s="8" t="s">
        <v>8</v>
      </c>
      <c r="C5" s="9">
        <v>1000</v>
      </c>
      <c r="D5" s="7" t="s">
        <v>9</v>
      </c>
      <c r="E5" s="7"/>
      <c r="F5" s="7"/>
      <c r="G5" s="7"/>
      <c r="H5" s="7"/>
    </row>
    <row r="6" spans="1:8" x14ac:dyDescent="0.2">
      <c r="A6" s="7" t="s">
        <v>10</v>
      </c>
      <c r="B6" s="8" t="s">
        <v>11</v>
      </c>
      <c r="C6" s="9">
        <v>2000</v>
      </c>
      <c r="D6" s="7" t="s">
        <v>12</v>
      </c>
      <c r="E6" s="7"/>
      <c r="F6" s="7"/>
      <c r="G6" s="7"/>
      <c r="H6" s="7"/>
    </row>
    <row r="7" spans="1:8" x14ac:dyDescent="0.2">
      <c r="A7" s="7" t="s">
        <v>13</v>
      </c>
      <c r="B7" s="8" t="s">
        <v>14</v>
      </c>
      <c r="C7" s="9">
        <v>6</v>
      </c>
      <c r="D7" s="7" t="s">
        <v>15</v>
      </c>
      <c r="E7" s="7"/>
      <c r="F7" s="7"/>
      <c r="G7" s="7"/>
      <c r="H7" s="7"/>
    </row>
    <row r="8" spans="1:8" x14ac:dyDescent="0.2">
      <c r="A8" s="7" t="s">
        <v>16</v>
      </c>
      <c r="B8" s="8" t="s">
        <v>17</v>
      </c>
      <c r="C8" s="9">
        <v>1</v>
      </c>
      <c r="D8" s="7" t="s">
        <v>12</v>
      </c>
      <c r="E8" s="7"/>
      <c r="F8" s="7"/>
      <c r="G8" s="7"/>
      <c r="H8" s="7"/>
    </row>
    <row r="10" spans="1:8" x14ac:dyDescent="0.2">
      <c r="A10" s="3" t="s">
        <v>18</v>
      </c>
      <c r="B10" s="3"/>
      <c r="C10" s="3"/>
      <c r="D10" s="3"/>
      <c r="E10" s="3"/>
      <c r="F10" s="3"/>
      <c r="G10" s="3"/>
      <c r="H10" s="3"/>
    </row>
    <row r="11" spans="1:8" x14ac:dyDescent="0.2">
      <c r="A11" s="6" t="s">
        <v>19</v>
      </c>
      <c r="B11" s="6" t="s">
        <v>4</v>
      </c>
      <c r="C11" s="6" t="s">
        <v>6</v>
      </c>
      <c r="D11" s="6" t="s">
        <v>20</v>
      </c>
      <c r="E11" s="6" t="s">
        <v>21</v>
      </c>
      <c r="F11" s="6" t="s">
        <v>22</v>
      </c>
      <c r="G11" s="6" t="s">
        <v>23</v>
      </c>
      <c r="H11" s="6"/>
    </row>
    <row r="12" spans="1:8" x14ac:dyDescent="0.2">
      <c r="A12" s="7" t="s">
        <v>24</v>
      </c>
      <c r="B12" s="10" t="s">
        <v>25</v>
      </c>
      <c r="C12" s="11" t="s">
        <v>26</v>
      </c>
      <c r="D12" s="12">
        <v>71.7</v>
      </c>
      <c r="E12" s="12">
        <v>114</v>
      </c>
      <c r="F12" s="12">
        <v>200</v>
      </c>
      <c r="G12" s="12">
        <v>135</v>
      </c>
      <c r="H12" s="7"/>
    </row>
    <row r="13" spans="1:8" x14ac:dyDescent="0.2">
      <c r="A13" s="7" t="s">
        <v>27</v>
      </c>
      <c r="B13" s="10" t="s">
        <v>28</v>
      </c>
      <c r="C13" s="11" t="s">
        <v>29</v>
      </c>
      <c r="D13" s="13">
        <v>2.81</v>
      </c>
      <c r="E13" s="13">
        <v>4.43</v>
      </c>
      <c r="F13" s="13">
        <v>7.85</v>
      </c>
      <c r="G13" s="13">
        <v>1.58</v>
      </c>
      <c r="H13" s="7"/>
    </row>
    <row r="14" spans="1:8" x14ac:dyDescent="0.2">
      <c r="A14" s="14" t="s">
        <v>30</v>
      </c>
      <c r="B14" s="15" t="s">
        <v>31</v>
      </c>
      <c r="C14" s="16" t="s">
        <v>32</v>
      </c>
      <c r="D14" s="17">
        <f>SQRT(D12)/D13</f>
        <v>3.0133755345219289</v>
      </c>
      <c r="E14" s="17">
        <f>SQRT(E12)/E13</f>
        <v>2.4101756776594385</v>
      </c>
      <c r="F14" s="17">
        <f>SQRT(F12)/F13</f>
        <v>1.8015459393287836</v>
      </c>
      <c r="G14" s="17">
        <f>SQRT(G12)/G13</f>
        <v>7.3537658472292717</v>
      </c>
      <c r="H14" s="18"/>
    </row>
    <row r="16" spans="1:8" x14ac:dyDescent="0.2">
      <c r="A16" s="3" t="s">
        <v>33</v>
      </c>
      <c r="B16" s="3"/>
      <c r="C16" s="3"/>
      <c r="D16" s="3"/>
      <c r="E16" s="3"/>
      <c r="F16" s="3"/>
      <c r="G16" s="3"/>
      <c r="H16" s="3"/>
    </row>
    <row r="17" spans="1:8" ht="27.75" customHeight="1" x14ac:dyDescent="0.2">
      <c r="A17" s="2" t="s">
        <v>34</v>
      </c>
      <c r="B17" s="2"/>
      <c r="C17" s="2"/>
      <c r="D17" s="2"/>
      <c r="E17" s="2"/>
      <c r="F17" s="2"/>
      <c r="G17" s="2"/>
      <c r="H17" s="2"/>
    </row>
    <row r="18" spans="1:8" x14ac:dyDescent="0.2">
      <c r="A18" s="6" t="s">
        <v>35</v>
      </c>
      <c r="B18" s="6" t="s">
        <v>4</v>
      </c>
      <c r="C18" s="6" t="s">
        <v>6</v>
      </c>
      <c r="D18" s="6" t="s">
        <v>20</v>
      </c>
      <c r="E18" s="6" t="s">
        <v>21</v>
      </c>
      <c r="F18" s="6" t="s">
        <v>22</v>
      </c>
      <c r="G18" s="6" t="s">
        <v>23</v>
      </c>
      <c r="H18" s="6"/>
    </row>
    <row r="19" spans="1:8" x14ac:dyDescent="0.2">
      <c r="A19" s="19" t="s">
        <v>36</v>
      </c>
      <c r="B19" s="20" t="s">
        <v>37</v>
      </c>
      <c r="C19" s="21" t="s">
        <v>12</v>
      </c>
      <c r="D19" s="22">
        <f>(C5*C6^3/(4*(D12*1000)*C7^3*C8))^(1/4)</f>
        <v>18.956767002740605</v>
      </c>
      <c r="E19" s="22">
        <f>(C5*C6^3/(4*(E12*1000)*C7^3*C8))^(1/4)</f>
        <v>16.881764916332667</v>
      </c>
      <c r="F19" s="22">
        <f>(C5*C6^3/(4*(F12*1000)*C7^3*C8))^(1/4)</f>
        <v>14.668528946556558</v>
      </c>
      <c r="G19" s="22">
        <f>(C5*C6^3/(4*(G12*1000)*C7^3*C8))^(1/4)</f>
        <v>16.183059056910778</v>
      </c>
      <c r="H19" s="19"/>
    </row>
    <row r="20" spans="1:8" x14ac:dyDescent="0.2">
      <c r="A20" s="23" t="s">
        <v>38</v>
      </c>
      <c r="B20" s="24" t="s">
        <v>39</v>
      </c>
      <c r="C20" s="25" t="s">
        <v>12</v>
      </c>
      <c r="D20" s="26">
        <f>C7*D19</f>
        <v>113.74060201644363</v>
      </c>
      <c r="E20" s="26">
        <f>C7*E19</f>
        <v>101.290589497996</v>
      </c>
      <c r="F20" s="26">
        <f>C7*F19</f>
        <v>88.01117367933935</v>
      </c>
      <c r="G20" s="26">
        <f>C7*G19</f>
        <v>97.09835434146467</v>
      </c>
      <c r="H20" s="23"/>
    </row>
    <row r="21" spans="1:8" x14ac:dyDescent="0.2">
      <c r="A21" s="19" t="s">
        <v>40</v>
      </c>
      <c r="B21" s="20" t="s">
        <v>41</v>
      </c>
      <c r="C21" s="21" t="s">
        <v>42</v>
      </c>
      <c r="D21" s="27">
        <f>(1/12)*D19*D20^3</f>
        <v>2324500.2324500242</v>
      </c>
      <c r="E21" s="27">
        <f>(1/12)*E19*E20^3</f>
        <v>1461988.304093566</v>
      </c>
      <c r="F21" s="27">
        <f>(1/12)*F19*F20^3</f>
        <v>833333.33333333372</v>
      </c>
      <c r="G21" s="27">
        <f>(1/12)*G19*G20^3</f>
        <v>1234567.9012345669</v>
      </c>
      <c r="H21" s="19"/>
    </row>
    <row r="22" spans="1:8" x14ac:dyDescent="0.2">
      <c r="A22" s="23" t="s">
        <v>43</v>
      </c>
      <c r="B22" s="24" t="s">
        <v>44</v>
      </c>
      <c r="C22" s="25" t="s">
        <v>45</v>
      </c>
      <c r="D22" s="28">
        <f>D19*D20</f>
        <v>2156.1540911771704</v>
      </c>
      <c r="E22" s="28">
        <f>E19*E20</f>
        <v>1709.9639201419229</v>
      </c>
      <c r="F22" s="28">
        <f>F19*F20</f>
        <v>1290.9944487358059</v>
      </c>
      <c r="G22" s="28">
        <f>G19*G20</f>
        <v>1571.3484026367719</v>
      </c>
      <c r="H22" s="23"/>
    </row>
    <row r="23" spans="1:8" x14ac:dyDescent="0.2">
      <c r="A23" s="29" t="s">
        <v>46</v>
      </c>
      <c r="B23" s="30" t="s">
        <v>47</v>
      </c>
      <c r="C23" s="31" t="s">
        <v>48</v>
      </c>
      <c r="D23" s="32">
        <f>D22*C6*(D13/1000)/1000</f>
        <v>12.117585992415696</v>
      </c>
      <c r="E23" s="32">
        <f>E22*C6*(E13/1000)/1000</f>
        <v>15.150280332457438</v>
      </c>
      <c r="F23" s="32">
        <f>F22*C6*(F13/1000)/1000</f>
        <v>20.268612845152152</v>
      </c>
      <c r="G23" s="32">
        <f>G22*C6*(G13/1000)/1000</f>
        <v>4.9654609523321991</v>
      </c>
      <c r="H23" s="33"/>
    </row>
    <row r="24" spans="1:8" x14ac:dyDescent="0.2">
      <c r="A24" s="19" t="s">
        <v>49</v>
      </c>
      <c r="B24" s="20" t="s">
        <v>17</v>
      </c>
      <c r="C24" s="21" t="s">
        <v>12</v>
      </c>
      <c r="D24" s="22">
        <f>C5*C6^3/(48*(D12*1000)*D21)</f>
        <v>0.99999999999999967</v>
      </c>
      <c r="E24" s="22">
        <f>C5*C6^3/(48*(E12*1000)*E21)</f>
        <v>1.0000000000000009</v>
      </c>
      <c r="F24" s="22">
        <f>C5*C6^3/(48*(F12*1000)*F21)</f>
        <v>0.99999999999999956</v>
      </c>
      <c r="G24" s="22">
        <f>C5*C6^3/(48*(G12*1000)*G21)</f>
        <v>1.0000000000000007</v>
      </c>
      <c r="H24" s="19"/>
    </row>
    <row r="27" spans="1:8" x14ac:dyDescent="0.2">
      <c r="A27" s="3" t="s">
        <v>50</v>
      </c>
      <c r="B27" s="3"/>
      <c r="C27" s="3"/>
      <c r="D27" s="3"/>
      <c r="E27" s="3"/>
      <c r="F27" s="3"/>
      <c r="G27" s="3"/>
      <c r="H27" s="3"/>
    </row>
    <row r="28" spans="1:8" ht="27.75" customHeight="1" x14ac:dyDescent="0.2">
      <c r="A28" s="2" t="s">
        <v>51</v>
      </c>
      <c r="B28" s="2"/>
      <c r="C28" s="2"/>
      <c r="D28" s="2"/>
      <c r="E28" s="2"/>
      <c r="F28" s="2"/>
      <c r="G28" s="2"/>
      <c r="H28" s="2"/>
    </row>
    <row r="29" spans="1:8" x14ac:dyDescent="0.2">
      <c r="A29" s="6" t="s">
        <v>52</v>
      </c>
      <c r="B29" s="6" t="s">
        <v>53</v>
      </c>
      <c r="C29" s="6" t="s">
        <v>54</v>
      </c>
      <c r="D29" s="6" t="s">
        <v>20</v>
      </c>
      <c r="E29" s="6" t="s">
        <v>21</v>
      </c>
      <c r="F29" s="6" t="s">
        <v>22</v>
      </c>
      <c r="G29" s="6" t="s">
        <v>23</v>
      </c>
      <c r="H29" s="6"/>
    </row>
    <row r="30" spans="1:8" x14ac:dyDescent="0.2">
      <c r="A30" s="18" t="s">
        <v>55</v>
      </c>
      <c r="B30" s="34" t="s">
        <v>31</v>
      </c>
      <c r="C30" s="18"/>
      <c r="D30" s="35">
        <f>D14</f>
        <v>3.0133755345219289</v>
      </c>
      <c r="E30" s="35">
        <f>E14</f>
        <v>2.4101756776594385</v>
      </c>
      <c r="F30" s="35">
        <f>F14</f>
        <v>1.8015459393287836</v>
      </c>
      <c r="G30" s="35">
        <f>G14</f>
        <v>7.3537658472292717</v>
      </c>
      <c r="H30" s="18"/>
    </row>
    <row r="31" spans="1:8" x14ac:dyDescent="0.2">
      <c r="A31" s="23" t="s">
        <v>56</v>
      </c>
      <c r="B31" s="24" t="s">
        <v>57</v>
      </c>
      <c r="C31" s="23"/>
      <c r="D31" s="26">
        <f>D30/D30</f>
        <v>1</v>
      </c>
      <c r="E31" s="26">
        <f>E30/D30</f>
        <v>0.799825859753591</v>
      </c>
      <c r="F31" s="26">
        <f>F30/D30</f>
        <v>0.59784979292818152</v>
      </c>
      <c r="G31" s="26">
        <f>G30/D30</f>
        <v>2.440374843089693</v>
      </c>
      <c r="H31" s="23"/>
    </row>
    <row r="32" spans="1:8" x14ac:dyDescent="0.2">
      <c r="A32" s="33" t="s">
        <v>58</v>
      </c>
      <c r="B32" s="36" t="s">
        <v>59</v>
      </c>
      <c r="C32" s="33"/>
      <c r="D32" s="37">
        <f>D23</f>
        <v>12.117585992415696</v>
      </c>
      <c r="E32" s="37">
        <f>E23</f>
        <v>15.150280332457438</v>
      </c>
      <c r="F32" s="37">
        <f>F23</f>
        <v>20.268612845152152</v>
      </c>
      <c r="G32" s="37">
        <f>G23</f>
        <v>4.9654609523321991</v>
      </c>
      <c r="H32" s="33"/>
    </row>
    <row r="33" spans="1:8" x14ac:dyDescent="0.2">
      <c r="A33" s="23" t="s">
        <v>60</v>
      </c>
      <c r="B33" s="24" t="s">
        <v>61</v>
      </c>
      <c r="C33" s="23"/>
      <c r="D33" s="26">
        <f>D32/D32</f>
        <v>1</v>
      </c>
      <c r="E33" s="26">
        <f>E32/D32</f>
        <v>1.2502721533760834</v>
      </c>
      <c r="F33" s="26">
        <f>F32/D32</f>
        <v>1.6726609456568429</v>
      </c>
      <c r="G33" s="26">
        <f>G32/D32</f>
        <v>0.40977311449987175</v>
      </c>
      <c r="H33" s="23"/>
    </row>
    <row r="34" spans="1:8" x14ac:dyDescent="0.2">
      <c r="A34" s="19" t="s">
        <v>62</v>
      </c>
      <c r="B34" s="20" t="s">
        <v>63</v>
      </c>
      <c r="C34" s="19"/>
      <c r="D34" s="22">
        <f>1/D31</f>
        <v>1</v>
      </c>
      <c r="E34" s="22">
        <f>1/E31</f>
        <v>1.2502721533760841</v>
      </c>
      <c r="F34" s="22">
        <f>1/F31</f>
        <v>1.6726609456568433</v>
      </c>
      <c r="G34" s="22">
        <f>1/G31</f>
        <v>0.40977311449987203</v>
      </c>
      <c r="H34" s="19"/>
    </row>
    <row r="36" spans="1:8" ht="39.75" customHeight="1" x14ac:dyDescent="0.2">
      <c r="A36" s="1" t="s">
        <v>64</v>
      </c>
      <c r="B36" s="1"/>
      <c r="C36" s="1"/>
      <c r="D36" s="1"/>
      <c r="E36" s="1"/>
      <c r="F36" s="1"/>
      <c r="G36" s="1"/>
      <c r="H36" s="1"/>
    </row>
  </sheetData>
  <mergeCells count="9">
    <mergeCell ref="A17:H17"/>
    <mergeCell ref="A27:H27"/>
    <mergeCell ref="A28:H28"/>
    <mergeCell ref="A36:H36"/>
    <mergeCell ref="A1:H1"/>
    <mergeCell ref="A2:H2"/>
    <mergeCell ref="A3:H3"/>
    <mergeCell ref="A10:H10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Scott Roberts</cp:lastModifiedBy>
  <cp:revision>0</cp:revision>
  <dcterms:created xsi:type="dcterms:W3CDTF">2026-05-24T19:14:52Z</dcterms:created>
  <dcterms:modified xsi:type="dcterms:W3CDTF">2026-05-24T19:32:16Z</dcterms:modified>
  <dc:language>en-US</dc:language>
</cp:coreProperties>
</file>